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ymuench/Library/Containers/com.apple.mail/Data/Library/Mail Downloads/9F790BE8-BC45-402E-994B-446A7FE469CE/"/>
    </mc:Choice>
  </mc:AlternateContent>
  <xr:revisionPtr revIDLastSave="0" documentId="13_ncr:1_{5B3DF048-0B14-F64E-BF74-BA5C3ABB46F6}" xr6:coauthVersionLast="47" xr6:coauthVersionMax="47" xr10:uidLastSave="{00000000-0000-0000-0000-000000000000}"/>
  <bookViews>
    <workbookView xWindow="4800" yWindow="500" windowWidth="25600" windowHeight="14340" xr2:uid="{27D0CC1B-D57F-4E1A-9A73-DFFA729145E5}"/>
  </bookViews>
  <sheets>
    <sheet name="home_range_summary" sheetId="1" r:id="rId1"/>
  </sheets>
  <definedNames>
    <definedName name="_xlnm._FilterDatabase" localSheetId="0" hidden="1">home_range_summary!$B$1:$B$103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1" l="1"/>
  <c r="F94" i="1"/>
  <c r="F84" i="1"/>
  <c r="F63" i="1"/>
  <c r="F45" i="1"/>
  <c r="F35" i="1"/>
  <c r="F103" i="1"/>
  <c r="F91" i="1"/>
  <c r="F78" i="1"/>
  <c r="F73" i="1"/>
  <c r="F69" i="1"/>
  <c r="F66" i="1"/>
  <c r="F60" i="1"/>
  <c r="F55" i="1"/>
  <c r="F50" i="1"/>
  <c r="F38" i="1"/>
  <c r="F32" i="1"/>
  <c r="F28" i="1"/>
  <c r="F23" i="1"/>
  <c r="F19" i="1"/>
  <c r="F14" i="1"/>
  <c r="F3" i="1"/>
</calcChain>
</file>

<file path=xl/sharedStrings.xml><?xml version="1.0" encoding="utf-8"?>
<sst xmlns="http://schemas.openxmlformats.org/spreadsheetml/2006/main" count="149" uniqueCount="52">
  <si>
    <t>File</t>
  </si>
  <si>
    <t>Name</t>
  </si>
  <si>
    <t>Year</t>
  </si>
  <si>
    <t>Back Float Bear</t>
  </si>
  <si>
    <t>Blue</t>
  </si>
  <si>
    <t>Blue2</t>
  </si>
  <si>
    <t>Broom</t>
  </si>
  <si>
    <t>Checkers</t>
  </si>
  <si>
    <t>Coca Cola</t>
  </si>
  <si>
    <t>ZZ</t>
  </si>
  <si>
    <t>Dahlia</t>
  </si>
  <si>
    <t>Athena</t>
  </si>
  <si>
    <t>Athena2</t>
  </si>
  <si>
    <t>Fanta</t>
  </si>
  <si>
    <t>Green Eggs</t>
  </si>
  <si>
    <t>Ham</t>
  </si>
  <si>
    <t>Jay</t>
  </si>
  <si>
    <t>JJ</t>
  </si>
  <si>
    <t>Lilac</t>
  </si>
  <si>
    <t>Louise</t>
  </si>
  <si>
    <t>Maple</t>
  </si>
  <si>
    <t>Maple2</t>
  </si>
  <si>
    <t>Mop</t>
  </si>
  <si>
    <t>Mousse</t>
  </si>
  <si>
    <t>NMS1</t>
  </si>
  <si>
    <t>Ombre</t>
  </si>
  <si>
    <t>Rattlesnake</t>
  </si>
  <si>
    <t>Rikki</t>
  </si>
  <si>
    <t>Ruben</t>
  </si>
  <si>
    <t>She Tan</t>
  </si>
  <si>
    <t>Skunk</t>
  </si>
  <si>
    <t>Split Ear</t>
  </si>
  <si>
    <t>Split Ear2</t>
  </si>
  <si>
    <t>Square Blaze</t>
  </si>
  <si>
    <t>Squirt</t>
  </si>
  <si>
    <t>Tavi</t>
  </si>
  <si>
    <t>Thorn</t>
  </si>
  <si>
    <t>Troublemaker</t>
  </si>
  <si>
    <t>Wanderer</t>
  </si>
  <si>
    <t>Area_km2 (95 avg)</t>
  </si>
  <si>
    <t>Area_km2 (95 low)</t>
  </si>
  <si>
    <t>Area_km2 (95 high)</t>
  </si>
  <si>
    <t>SexAgeclass</t>
  </si>
  <si>
    <t>MA</t>
  </si>
  <si>
    <t>FA</t>
  </si>
  <si>
    <t>FSA</t>
  </si>
  <si>
    <t>MSA</t>
  </si>
  <si>
    <t>this looks like the hunting activity was added in</t>
  </si>
  <si>
    <t>Fork</t>
  </si>
  <si>
    <t>FY</t>
  </si>
  <si>
    <t>MY</t>
  </si>
  <si>
    <t>Area_km2 (95 avgavg)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</si>
</sst>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215F-0D4D-4F8D-99BE-EF2C1FC8F2F3}">
  <dimension ref="A1:I103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1" width="14.83203125" customWidth="1"/>
    <col min="2" max="2" width="9.83203125" customWidth="1"/>
    <col min="3" max="3" width="8" customWidth="1"/>
    <col min="5" max="6" width="18.83203125" customWidth="1"/>
    <col min="7" max="7" width="17.5" customWidth="1"/>
  </cols>
  <sheetData>
    <row r="1" spans="1:8" x14ac:dyDescent="0.2">
      <c r="A1" t="s">
        <v>0</v>
      </c>
      <c r="B1" t="s">
        <v>42</v>
      </c>
      <c r="C1" t="s">
        <v>2</v>
      </c>
      <c r="D1" t="s">
        <v>1</v>
      </c>
      <c r="E1" t="s">
        <v>39</v>
      </c>
      <c r="F1" t="s">
        <v>51</v>
      </c>
      <c r="G1" t="s">
        <v>40</v>
      </c>
      <c r="H1" t="s">
        <v>41</v>
      </c>
    </row>
    <row r="2" spans="1:8" x14ac:dyDescent="0.2">
      <c r="A2" t="s">
        <v>3</v>
      </c>
      <c r="B2" t="s">
        <v>43</v>
      </c>
      <c r="C2">
        <v>2021</v>
      </c>
      <c r="D2">
        <v>40889</v>
      </c>
      <c r="E2">
        <v>126.20779170344601</v>
      </c>
      <c r="G2">
        <v>93.792860220522897</v>
      </c>
      <c r="H2">
        <v>163.359623855151</v>
      </c>
    </row>
    <row r="3" spans="1:8" x14ac:dyDescent="0.2">
      <c r="A3" t="s">
        <v>3</v>
      </c>
      <c r="B3" t="s">
        <v>43</v>
      </c>
      <c r="C3">
        <v>2022</v>
      </c>
      <c r="D3">
        <v>40889</v>
      </c>
      <c r="E3">
        <v>139.68458035983201</v>
      </c>
      <c r="F3">
        <f>(E2+E3)/2</f>
        <v>132.946186031639</v>
      </c>
      <c r="G3">
        <v>101.39752856354799</v>
      </c>
      <c r="H3">
        <v>184.008898906393</v>
      </c>
    </row>
    <row r="5" spans="1:8" x14ac:dyDescent="0.2">
      <c r="A5" t="s">
        <v>4</v>
      </c>
      <c r="B5" t="s">
        <v>45</v>
      </c>
      <c r="C5">
        <v>2023</v>
      </c>
      <c r="D5">
        <v>40881</v>
      </c>
      <c r="E5">
        <v>12.2163309665422</v>
      </c>
      <c r="G5">
        <v>9.6563990847976893</v>
      </c>
      <c r="H5">
        <v>15.0726990965043</v>
      </c>
    </row>
    <row r="6" spans="1:8" x14ac:dyDescent="0.2">
      <c r="A6" t="s">
        <v>5</v>
      </c>
      <c r="B6" t="s">
        <v>44</v>
      </c>
      <c r="C6">
        <v>2023</v>
      </c>
      <c r="D6">
        <v>89194</v>
      </c>
      <c r="E6">
        <v>156.59206313226201</v>
      </c>
      <c r="G6">
        <v>98.168150954711194</v>
      </c>
      <c r="H6">
        <v>228.43742115927401</v>
      </c>
    </row>
    <row r="8" spans="1:8" x14ac:dyDescent="0.2">
      <c r="A8" t="s">
        <v>6</v>
      </c>
      <c r="B8" t="s">
        <v>44</v>
      </c>
      <c r="C8">
        <v>2023</v>
      </c>
      <c r="D8">
        <v>40882</v>
      </c>
      <c r="E8">
        <v>46.2203445410507</v>
      </c>
      <c r="G8">
        <v>37.747696077597702</v>
      </c>
      <c r="H8">
        <v>55.537998595786497</v>
      </c>
    </row>
    <row r="10" spans="1:8" x14ac:dyDescent="0.2">
      <c r="A10" t="s">
        <v>7</v>
      </c>
      <c r="B10" t="s">
        <v>43</v>
      </c>
      <c r="C10">
        <v>2023</v>
      </c>
      <c r="D10">
        <v>89193</v>
      </c>
      <c r="E10">
        <v>43.7348628105904</v>
      </c>
      <c r="G10">
        <v>28.354377758719401</v>
      </c>
      <c r="H10">
        <v>62.394815849005603</v>
      </c>
    </row>
    <row r="12" spans="1:8" x14ac:dyDescent="0.2">
      <c r="A12" t="s">
        <v>8</v>
      </c>
      <c r="B12" t="s">
        <v>44</v>
      </c>
      <c r="C12">
        <v>2021</v>
      </c>
      <c r="D12">
        <v>40880</v>
      </c>
      <c r="E12">
        <v>17.570928859409399</v>
      </c>
      <c r="G12">
        <v>14.0659222549594</v>
      </c>
      <c r="H12">
        <v>21.459979503211901</v>
      </c>
    </row>
    <row r="13" spans="1:8" x14ac:dyDescent="0.2">
      <c r="A13" t="s">
        <v>8</v>
      </c>
      <c r="B13" t="s">
        <v>44</v>
      </c>
      <c r="C13">
        <v>2022</v>
      </c>
      <c r="D13">
        <v>40880</v>
      </c>
      <c r="E13">
        <v>47.709487406977999</v>
      </c>
      <c r="G13">
        <v>36.288746337861298</v>
      </c>
      <c r="H13">
        <v>60.668801797472597</v>
      </c>
    </row>
    <row r="14" spans="1:8" x14ac:dyDescent="0.2">
      <c r="A14" t="s">
        <v>8</v>
      </c>
      <c r="B14" t="s">
        <v>44</v>
      </c>
      <c r="C14">
        <v>2023</v>
      </c>
      <c r="D14">
        <v>40880</v>
      </c>
      <c r="E14">
        <v>8.8774430696760103</v>
      </c>
      <c r="F14">
        <f>(E12+E13+E14)/3</f>
        <v>24.719286445354467</v>
      </c>
      <c r="G14">
        <v>7.28331971076146</v>
      </c>
      <c r="H14">
        <v>10.626970245510201</v>
      </c>
    </row>
    <row r="16" spans="1:8" x14ac:dyDescent="0.2">
      <c r="A16" t="s">
        <v>9</v>
      </c>
      <c r="B16" t="s">
        <v>46</v>
      </c>
      <c r="C16">
        <v>2020</v>
      </c>
      <c r="D16">
        <v>40905</v>
      </c>
      <c r="E16">
        <v>234.31174299848701</v>
      </c>
      <c r="G16">
        <v>54.115654512907099</v>
      </c>
      <c r="H16">
        <v>544.04724556025997</v>
      </c>
    </row>
    <row r="17" spans="1:8" x14ac:dyDescent="0.2">
      <c r="A17" t="s">
        <v>9</v>
      </c>
      <c r="B17" t="s">
        <v>46</v>
      </c>
      <c r="C17">
        <v>2021</v>
      </c>
      <c r="D17">
        <v>40886</v>
      </c>
      <c r="E17">
        <v>136.47124410920199</v>
      </c>
      <c r="G17">
        <v>101.085077242746</v>
      </c>
      <c r="H17">
        <v>177.08609926357801</v>
      </c>
    </row>
    <row r="18" spans="1:8" x14ac:dyDescent="0.2">
      <c r="A18" t="s">
        <v>9</v>
      </c>
      <c r="B18" t="s">
        <v>43</v>
      </c>
      <c r="C18">
        <v>2022</v>
      </c>
      <c r="D18">
        <v>40886</v>
      </c>
      <c r="E18">
        <v>111.807479233526</v>
      </c>
      <c r="G18">
        <v>83.374796589672997</v>
      </c>
      <c r="H18">
        <v>144.347476654156</v>
      </c>
    </row>
    <row r="19" spans="1:8" x14ac:dyDescent="0.2">
      <c r="A19" t="s">
        <v>9</v>
      </c>
      <c r="B19" t="s">
        <v>43</v>
      </c>
      <c r="C19">
        <v>2023</v>
      </c>
      <c r="D19">
        <v>89197</v>
      </c>
      <c r="E19">
        <v>145.083995062583</v>
      </c>
      <c r="F19">
        <f>(E16+E17+E18+E19)/4</f>
        <v>156.91861535094949</v>
      </c>
      <c r="G19">
        <v>106.328208845056</v>
      </c>
      <c r="H19">
        <v>189.76890953681701</v>
      </c>
    </row>
    <row r="21" spans="1:8" x14ac:dyDescent="0.2">
      <c r="A21" t="s">
        <v>10</v>
      </c>
      <c r="B21" t="s">
        <v>44</v>
      </c>
      <c r="C21">
        <v>2021</v>
      </c>
      <c r="D21">
        <v>40885</v>
      </c>
      <c r="E21">
        <v>16.048764426025301</v>
      </c>
      <c r="G21">
        <v>12.773434376329901</v>
      </c>
      <c r="H21">
        <v>19.692274846379402</v>
      </c>
    </row>
    <row r="22" spans="1:8" x14ac:dyDescent="0.2">
      <c r="A22" t="s">
        <v>10</v>
      </c>
      <c r="B22" t="s">
        <v>44</v>
      </c>
      <c r="C22">
        <v>2022</v>
      </c>
      <c r="D22">
        <v>40885</v>
      </c>
      <c r="E22">
        <v>26.9677321910081</v>
      </c>
      <c r="G22">
        <v>21.7904542731278</v>
      </c>
      <c r="H22">
        <v>32.6885437852183</v>
      </c>
    </row>
    <row r="23" spans="1:8" x14ac:dyDescent="0.2">
      <c r="A23" t="s">
        <v>10</v>
      </c>
      <c r="B23" t="s">
        <v>44</v>
      </c>
      <c r="C23">
        <v>2023</v>
      </c>
      <c r="D23">
        <v>40885</v>
      </c>
      <c r="E23">
        <v>18.055695613965501</v>
      </c>
      <c r="F23">
        <f>(E21+E22+E23)/3</f>
        <v>20.357397410332965</v>
      </c>
      <c r="G23">
        <v>15.398372148976</v>
      </c>
      <c r="H23">
        <v>20.921425705010599</v>
      </c>
    </row>
    <row r="25" spans="1:8" x14ac:dyDescent="0.2">
      <c r="A25" t="s">
        <v>11</v>
      </c>
      <c r="B25" t="s">
        <v>45</v>
      </c>
      <c r="C25">
        <v>2021</v>
      </c>
      <c r="D25">
        <v>40884</v>
      </c>
      <c r="E25">
        <v>30.286429596480598</v>
      </c>
      <c r="G25">
        <v>23.9031828059112</v>
      </c>
      <c r="H25">
        <v>37.413666989008</v>
      </c>
    </row>
    <row r="26" spans="1:8" x14ac:dyDescent="0.2">
      <c r="A26" t="s">
        <v>11</v>
      </c>
      <c r="B26" t="s">
        <v>44</v>
      </c>
      <c r="C26">
        <v>2022</v>
      </c>
      <c r="D26">
        <v>40884</v>
      </c>
      <c r="E26">
        <v>46.380333763705202</v>
      </c>
      <c r="G26">
        <v>37.798762417345003</v>
      </c>
      <c r="H26">
        <v>55.826655364772002</v>
      </c>
    </row>
    <row r="27" spans="1:8" x14ac:dyDescent="0.2">
      <c r="A27" t="s">
        <v>11</v>
      </c>
      <c r="B27" t="s">
        <v>44</v>
      </c>
      <c r="C27">
        <v>2023</v>
      </c>
      <c r="D27">
        <v>40884</v>
      </c>
      <c r="E27">
        <v>15.6600064176034</v>
      </c>
      <c r="G27">
        <v>11.3492618297901</v>
      </c>
      <c r="H27">
        <v>20.6539187703466</v>
      </c>
    </row>
    <row r="28" spans="1:8" x14ac:dyDescent="0.2">
      <c r="A28" t="s">
        <v>12</v>
      </c>
      <c r="B28" t="s">
        <v>44</v>
      </c>
      <c r="C28">
        <v>2023</v>
      </c>
      <c r="D28">
        <v>40911</v>
      </c>
      <c r="E28">
        <v>39.869719833644098</v>
      </c>
      <c r="F28">
        <f>(E25+E26+E27+E28)/4</f>
        <v>33.049122402858323</v>
      </c>
      <c r="G28">
        <v>30.316342292413101</v>
      </c>
      <c r="H28">
        <v>50.711549250654897</v>
      </c>
    </row>
    <row r="30" spans="1:8" x14ac:dyDescent="0.2">
      <c r="A30" t="s">
        <v>13</v>
      </c>
      <c r="B30" t="s">
        <v>44</v>
      </c>
      <c r="C30">
        <v>2023</v>
      </c>
      <c r="D30">
        <v>40881</v>
      </c>
      <c r="E30">
        <v>28.513476382868902</v>
      </c>
      <c r="G30">
        <v>22.757380893536201</v>
      </c>
      <c r="H30">
        <v>34.908752687741</v>
      </c>
    </row>
    <row r="31" spans="1:8" x14ac:dyDescent="0.2">
      <c r="A31" t="s">
        <v>13</v>
      </c>
      <c r="B31" t="s">
        <v>45</v>
      </c>
      <c r="C31">
        <v>2021</v>
      </c>
      <c r="D31">
        <v>40881</v>
      </c>
      <c r="E31">
        <v>832.56794825408599</v>
      </c>
      <c r="G31">
        <v>418.77874468933402</v>
      </c>
      <c r="H31">
        <v>1386.14508669214</v>
      </c>
    </row>
    <row r="32" spans="1:8" x14ac:dyDescent="0.2">
      <c r="A32" t="s">
        <v>13</v>
      </c>
      <c r="B32" t="s">
        <v>44</v>
      </c>
      <c r="C32">
        <v>2022</v>
      </c>
      <c r="D32">
        <v>40881</v>
      </c>
      <c r="E32">
        <v>4.91038519613255</v>
      </c>
      <c r="F32">
        <f>(E30+E31+E32)/3</f>
        <v>288.66393661102916</v>
      </c>
      <c r="G32">
        <v>2.7342125188164998</v>
      </c>
      <c r="H32">
        <v>7.7131459347539204</v>
      </c>
    </row>
    <row r="34" spans="1:9" x14ac:dyDescent="0.2">
      <c r="A34" t="s">
        <v>14</v>
      </c>
      <c r="B34" t="s">
        <v>46</v>
      </c>
      <c r="C34">
        <v>2022</v>
      </c>
      <c r="D34">
        <v>40890</v>
      </c>
      <c r="E34" s="2">
        <v>5.0777369999999999</v>
      </c>
      <c r="F34" s="1"/>
      <c r="G34">
        <v>199.02646616713801</v>
      </c>
      <c r="H34">
        <v>1150.8336697274201</v>
      </c>
      <c r="I34" t="s">
        <v>47</v>
      </c>
    </row>
    <row r="35" spans="1:9" x14ac:dyDescent="0.2">
      <c r="A35" t="s">
        <v>14</v>
      </c>
      <c r="B35" t="s">
        <v>46</v>
      </c>
      <c r="C35">
        <v>2021</v>
      </c>
      <c r="D35">
        <v>40890</v>
      </c>
      <c r="E35">
        <v>71.842925515446197</v>
      </c>
      <c r="F35">
        <f>(E34+E35)/2</f>
        <v>38.460331257723098</v>
      </c>
      <c r="G35">
        <v>15.9626258410063</v>
      </c>
      <c r="H35">
        <v>168.949255372772</v>
      </c>
    </row>
    <row r="37" spans="1:9" x14ac:dyDescent="0.2">
      <c r="A37" t="s">
        <v>15</v>
      </c>
      <c r="B37" t="s">
        <v>46</v>
      </c>
      <c r="C37">
        <v>2022</v>
      </c>
      <c r="D37">
        <v>40876</v>
      </c>
      <c r="E37">
        <v>106.221135046828</v>
      </c>
      <c r="G37">
        <v>76.913584494079998</v>
      </c>
      <c r="H37">
        <v>140.18607597789801</v>
      </c>
    </row>
    <row r="38" spans="1:9" x14ac:dyDescent="0.2">
      <c r="A38" t="s">
        <v>15</v>
      </c>
      <c r="B38" t="s">
        <v>46</v>
      </c>
      <c r="C38">
        <v>2021</v>
      </c>
      <c r="D38">
        <v>40876</v>
      </c>
      <c r="E38">
        <v>54.429749731403902</v>
      </c>
      <c r="F38">
        <f>(E37+E38)/2</f>
        <v>80.325442389115949</v>
      </c>
      <c r="G38">
        <v>37.079415525712797</v>
      </c>
      <c r="H38">
        <v>75.057503326525506</v>
      </c>
    </row>
    <row r="40" spans="1:9" x14ac:dyDescent="0.2">
      <c r="A40" t="s">
        <v>48</v>
      </c>
      <c r="B40" t="s">
        <v>45</v>
      </c>
      <c r="C40">
        <v>2023</v>
      </c>
      <c r="D40">
        <v>40891</v>
      </c>
      <c r="E40">
        <v>39.070220500566101</v>
      </c>
      <c r="G40">
        <v>29.036510147537602</v>
      </c>
      <c r="H40">
        <v>50.570020249358898</v>
      </c>
    </row>
    <row r="42" spans="1:9" x14ac:dyDescent="0.2">
      <c r="A42" t="s">
        <v>16</v>
      </c>
      <c r="B42" t="s">
        <v>44</v>
      </c>
      <c r="C42">
        <v>2023</v>
      </c>
      <c r="D42">
        <v>40890</v>
      </c>
      <c r="E42">
        <v>18.329718030499901</v>
      </c>
      <c r="G42">
        <v>15.024895627072301</v>
      </c>
      <c r="H42">
        <v>21.958156966458699</v>
      </c>
    </row>
    <row r="44" spans="1:9" x14ac:dyDescent="0.2">
      <c r="A44" t="s">
        <v>17</v>
      </c>
      <c r="B44" t="s">
        <v>45</v>
      </c>
      <c r="C44" s="2">
        <v>2022</v>
      </c>
      <c r="D44" s="2">
        <v>89025</v>
      </c>
      <c r="E44" s="2">
        <v>45.706969999999998</v>
      </c>
    </row>
    <row r="45" spans="1:9" x14ac:dyDescent="0.2">
      <c r="A45" t="s">
        <v>17</v>
      </c>
      <c r="B45" t="s">
        <v>44</v>
      </c>
      <c r="C45">
        <v>2023</v>
      </c>
      <c r="D45">
        <v>89025</v>
      </c>
      <c r="E45">
        <v>2.4574334223578198</v>
      </c>
      <c r="F45">
        <f>(E45+E44)/2</f>
        <v>24.082201711178911</v>
      </c>
      <c r="G45">
        <v>1.6739951797585799</v>
      </c>
      <c r="H45">
        <v>3.3888818579353899</v>
      </c>
    </row>
    <row r="47" spans="1:9" x14ac:dyDescent="0.2">
      <c r="A47" t="s">
        <v>18</v>
      </c>
      <c r="B47" t="s">
        <v>46</v>
      </c>
      <c r="C47">
        <v>2023</v>
      </c>
      <c r="D47">
        <v>40906</v>
      </c>
      <c r="E47">
        <v>206.45683703698799</v>
      </c>
      <c r="G47">
        <v>28.493254754058999</v>
      </c>
      <c r="H47">
        <v>556.85217204249295</v>
      </c>
    </row>
    <row r="49" spans="1:8" x14ac:dyDescent="0.2">
      <c r="A49" t="s">
        <v>19</v>
      </c>
      <c r="B49" t="s">
        <v>44</v>
      </c>
      <c r="C49">
        <v>2022</v>
      </c>
      <c r="D49">
        <v>40907</v>
      </c>
      <c r="E49">
        <v>85.807604145964604</v>
      </c>
      <c r="G49">
        <v>47.657476205787098</v>
      </c>
      <c r="H49">
        <v>134.990269973089</v>
      </c>
    </row>
    <row r="50" spans="1:8" x14ac:dyDescent="0.2">
      <c r="A50" t="s">
        <v>19</v>
      </c>
      <c r="B50" t="s">
        <v>44</v>
      </c>
      <c r="C50">
        <v>2023</v>
      </c>
      <c r="D50">
        <v>40907</v>
      </c>
      <c r="E50">
        <v>58.400434558426902</v>
      </c>
      <c r="F50">
        <f>(E49+E50)/2</f>
        <v>72.104019352195749</v>
      </c>
      <c r="G50">
        <v>40.806191754362104</v>
      </c>
      <c r="H50">
        <v>79.098921902833595</v>
      </c>
    </row>
    <row r="52" spans="1:8" x14ac:dyDescent="0.2">
      <c r="A52" t="s">
        <v>20</v>
      </c>
      <c r="B52" t="s">
        <v>45</v>
      </c>
      <c r="C52">
        <v>2021</v>
      </c>
      <c r="D52">
        <v>40905</v>
      </c>
      <c r="E52">
        <v>30.9113646172597</v>
      </c>
      <c r="G52">
        <v>24.943855607001499</v>
      </c>
      <c r="H52">
        <v>37.509265964761397</v>
      </c>
    </row>
    <row r="53" spans="1:8" x14ac:dyDescent="0.2">
      <c r="A53" t="s">
        <v>20</v>
      </c>
      <c r="B53" t="s">
        <v>44</v>
      </c>
      <c r="C53">
        <v>2022</v>
      </c>
      <c r="D53">
        <v>40905</v>
      </c>
      <c r="E53">
        <v>29.8428654110973</v>
      </c>
      <c r="G53">
        <v>24.820469138796799</v>
      </c>
      <c r="H53">
        <v>35.321139932092997</v>
      </c>
    </row>
    <row r="54" spans="1:8" x14ac:dyDescent="0.2">
      <c r="A54" t="s">
        <v>20</v>
      </c>
      <c r="B54" t="s">
        <v>44</v>
      </c>
      <c r="C54">
        <v>2023</v>
      </c>
      <c r="D54">
        <v>40905</v>
      </c>
      <c r="E54">
        <v>1.31861170361333</v>
      </c>
      <c r="G54">
        <v>0.86782472240438602</v>
      </c>
      <c r="H54">
        <v>1.8621907920858001</v>
      </c>
    </row>
    <row r="55" spans="1:8" x14ac:dyDescent="0.2">
      <c r="A55" t="s">
        <v>21</v>
      </c>
      <c r="B55" t="s">
        <v>44</v>
      </c>
      <c r="C55">
        <v>2023</v>
      </c>
      <c r="D55">
        <v>40876</v>
      </c>
      <c r="E55">
        <v>27.055186292853101</v>
      </c>
      <c r="F55">
        <f>(E52+E53+E54+E55)/4</f>
        <v>22.282007006205859</v>
      </c>
      <c r="G55">
        <v>22.422892835315398</v>
      </c>
      <c r="H55">
        <v>32.1159704415969</v>
      </c>
    </row>
    <row r="57" spans="1:8" x14ac:dyDescent="0.2">
      <c r="A57" t="s">
        <v>22</v>
      </c>
      <c r="B57" t="s">
        <v>44</v>
      </c>
      <c r="C57">
        <v>2023</v>
      </c>
      <c r="D57">
        <v>89200</v>
      </c>
      <c r="E57">
        <v>83.218020985154794</v>
      </c>
      <c r="G57">
        <v>41.847514650169003</v>
      </c>
      <c r="H57">
        <v>138.569743950054</v>
      </c>
    </row>
    <row r="59" spans="1:8" x14ac:dyDescent="0.2">
      <c r="A59" t="s">
        <v>23</v>
      </c>
      <c r="B59" t="s">
        <v>46</v>
      </c>
      <c r="C59">
        <v>2021</v>
      </c>
      <c r="D59">
        <v>40875</v>
      </c>
      <c r="E59">
        <v>2457.9718971379598</v>
      </c>
      <c r="G59">
        <v>705.78905197973904</v>
      </c>
      <c r="H59">
        <v>5283.3854563002496</v>
      </c>
    </row>
    <row r="60" spans="1:8" x14ac:dyDescent="0.2">
      <c r="A60" t="s">
        <v>23</v>
      </c>
      <c r="B60" t="s">
        <v>46</v>
      </c>
      <c r="C60">
        <v>2022</v>
      </c>
      <c r="D60">
        <v>40875</v>
      </c>
      <c r="E60">
        <v>369.96129950923199</v>
      </c>
      <c r="F60">
        <f>(E59+E60)/2</f>
        <v>1413.9665983235959</v>
      </c>
      <c r="G60">
        <v>141.99510690805101</v>
      </c>
      <c r="H60">
        <v>705.17197024891698</v>
      </c>
    </row>
    <row r="62" spans="1:8" x14ac:dyDescent="0.2">
      <c r="A62" t="s">
        <v>24</v>
      </c>
      <c r="B62" t="s">
        <v>45</v>
      </c>
      <c r="C62" s="2">
        <v>2021</v>
      </c>
      <c r="D62" s="2">
        <v>40882</v>
      </c>
      <c r="E62" s="2">
        <v>36.99586</v>
      </c>
    </row>
    <row r="63" spans="1:8" x14ac:dyDescent="0.2">
      <c r="A63" t="s">
        <v>24</v>
      </c>
      <c r="B63" t="s">
        <v>44</v>
      </c>
      <c r="C63">
        <v>2022</v>
      </c>
      <c r="D63">
        <v>40882</v>
      </c>
      <c r="E63">
        <v>11.319195384257499</v>
      </c>
      <c r="F63">
        <f>(E63+E62)/2</f>
        <v>24.157527692128749</v>
      </c>
      <c r="G63">
        <v>8.6027670678475001</v>
      </c>
      <c r="H63">
        <v>14.402633909594901</v>
      </c>
    </row>
    <row r="65" spans="1:8" x14ac:dyDescent="0.2">
      <c r="A65" t="s">
        <v>25</v>
      </c>
      <c r="B65" t="s">
        <v>46</v>
      </c>
      <c r="C65">
        <v>2021</v>
      </c>
      <c r="D65">
        <v>40878</v>
      </c>
      <c r="E65">
        <v>77.258199057611293</v>
      </c>
      <c r="G65">
        <v>56.525877860299801</v>
      </c>
      <c r="H65">
        <v>101.179337226691</v>
      </c>
    </row>
    <row r="66" spans="1:8" x14ac:dyDescent="0.2">
      <c r="A66" t="s">
        <v>25</v>
      </c>
      <c r="B66" t="s">
        <v>43</v>
      </c>
      <c r="C66">
        <v>2022</v>
      </c>
      <c r="D66">
        <v>40878</v>
      </c>
      <c r="E66">
        <v>55.099854867024099</v>
      </c>
      <c r="F66">
        <f>(E65+E66)/2</f>
        <v>66.179026962317693</v>
      </c>
      <c r="G66">
        <v>42.390667252365098</v>
      </c>
      <c r="H66">
        <v>69.449923595524297</v>
      </c>
    </row>
    <row r="68" spans="1:8" x14ac:dyDescent="0.2">
      <c r="A68" t="s">
        <v>26</v>
      </c>
      <c r="B68" t="s">
        <v>46</v>
      </c>
      <c r="C68">
        <v>2021</v>
      </c>
      <c r="D68">
        <v>40883</v>
      </c>
      <c r="E68">
        <v>316.32773868617602</v>
      </c>
      <c r="G68">
        <v>176.95379069410501</v>
      </c>
      <c r="H68">
        <v>495.515808241652</v>
      </c>
    </row>
    <row r="69" spans="1:8" x14ac:dyDescent="0.2">
      <c r="A69" t="s">
        <v>26</v>
      </c>
      <c r="B69" t="s">
        <v>46</v>
      </c>
      <c r="C69">
        <v>2022</v>
      </c>
      <c r="D69">
        <v>40883</v>
      </c>
      <c r="E69">
        <v>149.355963762812</v>
      </c>
      <c r="F69">
        <f>(E68+E69)/2</f>
        <v>232.84185122449401</v>
      </c>
      <c r="G69">
        <v>117.500988722869</v>
      </c>
      <c r="H69">
        <v>184.973851674184</v>
      </c>
    </row>
    <row r="71" spans="1:8" x14ac:dyDescent="0.2">
      <c r="A71" t="s">
        <v>27</v>
      </c>
      <c r="B71" t="s">
        <v>49</v>
      </c>
      <c r="C71">
        <v>2020</v>
      </c>
      <c r="D71">
        <v>40893</v>
      </c>
      <c r="E71">
        <v>3.4876309330350201</v>
      </c>
      <c r="G71">
        <v>2.9755147111691902</v>
      </c>
      <c r="H71">
        <v>4.0398117872489996</v>
      </c>
    </row>
    <row r="72" spans="1:8" x14ac:dyDescent="0.2">
      <c r="A72" t="s">
        <v>27</v>
      </c>
      <c r="B72" t="s">
        <v>45</v>
      </c>
      <c r="C72">
        <v>2021</v>
      </c>
      <c r="D72">
        <v>40893</v>
      </c>
      <c r="E72">
        <v>4.9458128784076703</v>
      </c>
      <c r="G72">
        <v>4.4475711801483904</v>
      </c>
      <c r="H72">
        <v>5.4701253497694102</v>
      </c>
    </row>
    <row r="73" spans="1:8" x14ac:dyDescent="0.2">
      <c r="A73" t="s">
        <v>27</v>
      </c>
      <c r="B73" t="s">
        <v>45</v>
      </c>
      <c r="C73">
        <v>2022</v>
      </c>
      <c r="D73">
        <v>40893</v>
      </c>
      <c r="E73">
        <v>7.5154828615695504</v>
      </c>
      <c r="F73">
        <f>(E71+E72+E73)/3</f>
        <v>5.3163088910040797</v>
      </c>
      <c r="G73">
        <v>6.4523510988006203</v>
      </c>
      <c r="H73">
        <v>8.6584982438347495</v>
      </c>
    </row>
    <row r="75" spans="1:8" x14ac:dyDescent="0.2">
      <c r="A75" t="s">
        <v>28</v>
      </c>
      <c r="B75" t="s">
        <v>50</v>
      </c>
      <c r="C75">
        <v>2023</v>
      </c>
      <c r="D75">
        <v>89026</v>
      </c>
      <c r="E75">
        <v>9.4732419963701204</v>
      </c>
      <c r="G75">
        <v>7.5013152674368797</v>
      </c>
      <c r="H75">
        <v>11.6718077643644</v>
      </c>
    </row>
    <row r="77" spans="1:8" x14ac:dyDescent="0.2">
      <c r="A77" t="s">
        <v>29</v>
      </c>
      <c r="B77" t="s">
        <v>45</v>
      </c>
      <c r="C77">
        <v>2020</v>
      </c>
      <c r="D77">
        <v>40877</v>
      </c>
      <c r="E77">
        <v>1472.7811941796599</v>
      </c>
      <c r="G77">
        <v>469.89321934108</v>
      </c>
      <c r="H77">
        <v>3038.2427622739401</v>
      </c>
    </row>
    <row r="78" spans="1:8" x14ac:dyDescent="0.2">
      <c r="A78" t="s">
        <v>29</v>
      </c>
      <c r="B78" t="s">
        <v>45</v>
      </c>
      <c r="C78">
        <v>2021</v>
      </c>
      <c r="D78">
        <v>40877</v>
      </c>
      <c r="E78">
        <v>20481.8523943453</v>
      </c>
      <c r="F78">
        <f>(E77+E78)/2</f>
        <v>10977.31679426248</v>
      </c>
      <c r="G78">
        <v>1257.5578319121701</v>
      </c>
      <c r="H78">
        <v>65745.971348951003</v>
      </c>
    </row>
    <row r="80" spans="1:8" x14ac:dyDescent="0.2">
      <c r="A80" t="s">
        <v>30</v>
      </c>
      <c r="B80" t="s">
        <v>49</v>
      </c>
      <c r="C80">
        <v>2023</v>
      </c>
      <c r="D80">
        <v>40893</v>
      </c>
      <c r="E80">
        <v>63.086386767301398</v>
      </c>
      <c r="G80">
        <v>40.429526484515002</v>
      </c>
      <c r="H80">
        <v>90.703083862376303</v>
      </c>
    </row>
    <row r="82" spans="1:8" x14ac:dyDescent="0.2">
      <c r="A82" t="s">
        <v>31</v>
      </c>
      <c r="B82" t="s">
        <v>44</v>
      </c>
      <c r="C82">
        <v>2021</v>
      </c>
      <c r="D82">
        <v>40879</v>
      </c>
      <c r="E82">
        <v>41.166052519328701</v>
      </c>
      <c r="G82">
        <v>31.9120180058598</v>
      </c>
      <c r="H82">
        <v>51.580343726800002</v>
      </c>
    </row>
    <row r="83" spans="1:8" x14ac:dyDescent="0.2">
      <c r="A83" t="s">
        <v>31</v>
      </c>
      <c r="B83" t="s">
        <v>44</v>
      </c>
      <c r="C83">
        <v>2022</v>
      </c>
      <c r="D83">
        <v>40879</v>
      </c>
      <c r="E83">
        <v>142.477943872362</v>
      </c>
      <c r="G83">
        <v>92.080515545265101</v>
      </c>
      <c r="H83">
        <v>203.69946779554101</v>
      </c>
    </row>
    <row r="84" spans="1:8" x14ac:dyDescent="0.2">
      <c r="A84" t="s">
        <v>31</v>
      </c>
      <c r="B84" t="s">
        <v>44</v>
      </c>
      <c r="C84" s="2">
        <v>2023</v>
      </c>
      <c r="D84" s="2">
        <v>40879</v>
      </c>
      <c r="E84" s="2">
        <v>46.196669999999997</v>
      </c>
      <c r="F84">
        <f>(E82+E83+E84)/3</f>
        <v>76.613555463896901</v>
      </c>
    </row>
    <row r="85" spans="1:8" x14ac:dyDescent="0.2">
      <c r="A85" t="s">
        <v>32</v>
      </c>
      <c r="B85" t="s">
        <v>44</v>
      </c>
      <c r="C85">
        <v>2023</v>
      </c>
      <c r="D85">
        <v>89195</v>
      </c>
      <c r="E85">
        <v>267.36298816614101</v>
      </c>
      <c r="G85">
        <v>81.865993793071198</v>
      </c>
      <c r="H85">
        <v>560.64835958118204</v>
      </c>
    </row>
    <row r="87" spans="1:8" x14ac:dyDescent="0.2">
      <c r="A87" t="s">
        <v>33</v>
      </c>
      <c r="B87" t="s">
        <v>43</v>
      </c>
      <c r="C87">
        <v>2022</v>
      </c>
      <c r="D87">
        <v>40922</v>
      </c>
      <c r="E87">
        <v>816.80897198233799</v>
      </c>
      <c r="G87">
        <v>316.29334767065001</v>
      </c>
      <c r="H87">
        <v>1550.61137917062</v>
      </c>
    </row>
    <row r="89" spans="1:8" x14ac:dyDescent="0.2">
      <c r="A89" t="s">
        <v>34</v>
      </c>
      <c r="B89" t="s">
        <v>45</v>
      </c>
      <c r="C89">
        <v>2021</v>
      </c>
      <c r="D89">
        <v>40887</v>
      </c>
      <c r="E89">
        <v>17.9841513903887</v>
      </c>
      <c r="G89">
        <v>15.2092709279937</v>
      </c>
      <c r="H89">
        <v>20.988111743895399</v>
      </c>
    </row>
    <row r="90" spans="1:8" x14ac:dyDescent="0.2">
      <c r="A90" t="s">
        <v>34</v>
      </c>
      <c r="B90" t="s">
        <v>45</v>
      </c>
      <c r="C90">
        <v>2022</v>
      </c>
      <c r="D90">
        <v>40887</v>
      </c>
      <c r="E90">
        <v>17.575004085189398</v>
      </c>
      <c r="G90">
        <v>10.565573021523701</v>
      </c>
      <c r="H90">
        <v>26.338956768214899</v>
      </c>
    </row>
    <row r="91" spans="1:8" x14ac:dyDescent="0.2">
      <c r="A91" t="s">
        <v>34</v>
      </c>
      <c r="B91" t="s">
        <v>45</v>
      </c>
      <c r="C91">
        <v>2023</v>
      </c>
      <c r="D91">
        <v>40877</v>
      </c>
      <c r="E91">
        <v>45.132721898237797</v>
      </c>
      <c r="F91">
        <f>(E89+E90+E91)/3</f>
        <v>26.897292457938629</v>
      </c>
      <c r="G91">
        <v>36.9495161199278</v>
      </c>
      <c r="H91">
        <v>54.1222396672771</v>
      </c>
    </row>
    <row r="93" spans="1:8" x14ac:dyDescent="0.2">
      <c r="A93" t="s">
        <v>35</v>
      </c>
      <c r="B93" t="s">
        <v>49</v>
      </c>
      <c r="C93" s="2">
        <v>2020</v>
      </c>
      <c r="D93" s="2">
        <v>40891</v>
      </c>
      <c r="E93" s="2">
        <v>24.887879999999999</v>
      </c>
    </row>
    <row r="94" spans="1:8" x14ac:dyDescent="0.2">
      <c r="A94" t="s">
        <v>35</v>
      </c>
      <c r="B94" t="s">
        <v>45</v>
      </c>
      <c r="C94">
        <v>2021</v>
      </c>
      <c r="D94">
        <v>40891</v>
      </c>
      <c r="E94">
        <v>42.785359450940199</v>
      </c>
      <c r="F94">
        <f>(E93+E94)/2</f>
        <v>33.836619725470101</v>
      </c>
      <c r="G94">
        <v>28.4522392100045</v>
      </c>
      <c r="H94">
        <v>59.995815387257103</v>
      </c>
    </row>
    <row r="96" spans="1:8" x14ac:dyDescent="0.2">
      <c r="A96" t="s">
        <v>36</v>
      </c>
      <c r="B96" t="s">
        <v>46</v>
      </c>
      <c r="C96">
        <v>2023</v>
      </c>
      <c r="D96">
        <v>40884</v>
      </c>
      <c r="E96">
        <v>60.550758709607997</v>
      </c>
      <c r="G96">
        <v>46.2890832290784</v>
      </c>
      <c r="H96">
        <v>76.698339097569203</v>
      </c>
    </row>
    <row r="98" spans="1:8" x14ac:dyDescent="0.2">
      <c r="A98" t="s">
        <v>37</v>
      </c>
      <c r="B98" t="s">
        <v>46</v>
      </c>
      <c r="C98">
        <v>2021</v>
      </c>
      <c r="D98">
        <v>40888</v>
      </c>
      <c r="E98">
        <v>117.17078737654499</v>
      </c>
      <c r="G98">
        <v>92.637049443129698</v>
      </c>
      <c r="H98">
        <v>144.54296801388</v>
      </c>
    </row>
    <row r="99" spans="1:8" x14ac:dyDescent="0.2">
      <c r="A99" t="s">
        <v>37</v>
      </c>
      <c r="B99" t="s">
        <v>46</v>
      </c>
      <c r="C99" s="2">
        <v>2022</v>
      </c>
      <c r="D99" s="2">
        <v>40888</v>
      </c>
      <c r="E99" s="2">
        <v>98.046549999999996</v>
      </c>
    </row>
    <row r="100" spans="1:8" x14ac:dyDescent="0.2">
      <c r="A100" t="s">
        <v>37</v>
      </c>
      <c r="B100" t="s">
        <v>43</v>
      </c>
      <c r="C100">
        <v>2023</v>
      </c>
      <c r="D100">
        <v>40908</v>
      </c>
      <c r="E100">
        <v>37.465449807205701</v>
      </c>
      <c r="F100">
        <f>(E98+E99+E100)/3</f>
        <v>84.227595727916892</v>
      </c>
      <c r="G100">
        <v>28.3941216552771</v>
      </c>
      <c r="H100">
        <v>47.7749662863678</v>
      </c>
    </row>
    <row r="102" spans="1:8" x14ac:dyDescent="0.2">
      <c r="A102" t="s">
        <v>38</v>
      </c>
      <c r="B102" t="s">
        <v>49</v>
      </c>
      <c r="C102">
        <v>2021</v>
      </c>
      <c r="D102">
        <v>40892</v>
      </c>
      <c r="E102">
        <v>21230.1402989655</v>
      </c>
      <c r="G102">
        <v>1520.5787919909901</v>
      </c>
      <c r="H102">
        <v>66210.7882909365</v>
      </c>
    </row>
    <row r="103" spans="1:8" x14ac:dyDescent="0.2">
      <c r="A103" t="s">
        <v>38</v>
      </c>
      <c r="B103" t="s">
        <v>45</v>
      </c>
      <c r="C103">
        <v>2022</v>
      </c>
      <c r="D103">
        <v>40892</v>
      </c>
      <c r="E103">
        <v>377.55802277532899</v>
      </c>
      <c r="F103">
        <f>(E102+E103)/2</f>
        <v>10803.849160870415</v>
      </c>
      <c r="G103">
        <v>187.364778584079</v>
      </c>
      <c r="H103">
        <v>633.26242522554901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home_range_summary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 Muench</cp:lastModifiedBy>
  <dcterms:created xsi:type="dcterms:W3CDTF">2025-02-13T02:04:39Z</dcterms:created>
  <dcterms:modified xsi:type="dcterms:W3CDTF">2025-02-17T15:56:01Z</dcterms:modified>
</cp:coreProperties>
</file>