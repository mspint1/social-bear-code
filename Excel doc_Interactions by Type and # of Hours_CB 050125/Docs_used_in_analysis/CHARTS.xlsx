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muench/Desktop/"/>
    </mc:Choice>
  </mc:AlternateContent>
  <xr:revisionPtr revIDLastSave="0" documentId="13_ncr:1_{FBC39F9B-1544-AA4C-8484-04031D974F84}" xr6:coauthVersionLast="47" xr6:coauthVersionMax="47" xr10:uidLastSave="{00000000-0000-0000-0000-000000000000}"/>
  <bookViews>
    <workbookView xWindow="6160" yWindow="500" windowWidth="25040" windowHeight="13840" xr2:uid="{86E0F70D-8A75-A74A-B3B6-F83F9BB43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M14" i="1"/>
  <c r="M13" i="1"/>
  <c r="J15" i="1" l="1"/>
  <c r="J16" i="1"/>
  <c r="J14" i="1"/>
  <c r="J11" i="1"/>
  <c r="J12" i="1"/>
  <c r="I10" i="1"/>
  <c r="J10" i="1" s="1"/>
  <c r="E11" i="1"/>
  <c r="E12" i="1"/>
  <c r="E10" i="1"/>
  <c r="C10" i="1"/>
  <c r="J7" i="1"/>
  <c r="J8" i="1"/>
  <c r="J6" i="1"/>
  <c r="I6" i="1"/>
  <c r="E7" i="1"/>
  <c r="E8" i="1"/>
  <c r="E6" i="1"/>
  <c r="C6" i="1"/>
  <c r="J3" i="1"/>
  <c r="J4" i="1"/>
  <c r="J2" i="1"/>
  <c r="E4" i="1"/>
  <c r="E3" i="1"/>
  <c r="C2" i="1"/>
  <c r="E2" i="1" s="1"/>
  <c r="I2" i="1"/>
  <c r="H2" i="1"/>
</calcChain>
</file>

<file path=xl/sharedStrings.xml><?xml version="1.0" encoding="utf-8"?>
<sst xmlns="http://schemas.openxmlformats.org/spreadsheetml/2006/main" count="41" uniqueCount="16">
  <si>
    <t>2020-2023</t>
  </si>
  <si>
    <t>total</t>
  </si>
  <si>
    <t>single</t>
  </si>
  <si>
    <t>2+</t>
  </si>
  <si>
    <t>hours</t>
  </si>
  <si>
    <t>m/f total</t>
  </si>
  <si>
    <t>plus 2024</t>
  </si>
  <si>
    <t>f/f total</t>
  </si>
  <si>
    <t>m/m total</t>
  </si>
  <si>
    <t>breeding total</t>
  </si>
  <si>
    <t>new totals</t>
  </si>
  <si>
    <t>FF</t>
  </si>
  <si>
    <t>MF</t>
  </si>
  <si>
    <t>MM</t>
  </si>
  <si>
    <t>Single GPS point</t>
  </si>
  <si>
    <t>2+ GPS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</si>
</sst>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Interactions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Single GPS point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Sheet1!$M$1:$O$1</c:f>
              <c:strCache>
                <c:ptCount val="3"/>
                <c:pt idx="0">
                  <c:v>MF</c:v>
                </c:pt>
                <c:pt idx="1">
                  <c:v>FF</c:v>
                </c:pt>
                <c:pt idx="2">
                  <c:v>MM</c:v>
                </c:pt>
              </c:strCache>
            </c:strRef>
          </c:cat>
          <c:val>
            <c:numRef>
              <c:f>Sheet1!$M$2:$O$2</c:f>
              <c:numCache>
                <c:formatCode>General</c:formatCode>
                <c:ptCount val="3"/>
                <c:pt idx="0">
                  <c:v>511</c:v>
                </c:pt>
                <c:pt idx="1">
                  <c:v>558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0-3B4C-A474-C7528EA61FCD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2+ GPS point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Sheet1!$M$1:$O$1</c:f>
              <c:strCache>
                <c:ptCount val="3"/>
                <c:pt idx="0">
                  <c:v>MF</c:v>
                </c:pt>
                <c:pt idx="1">
                  <c:v>FF</c:v>
                </c:pt>
                <c:pt idx="2">
                  <c:v>MM</c:v>
                </c:pt>
              </c:strCache>
            </c:strRef>
          </c:cat>
          <c:val>
            <c:numRef>
              <c:f>Sheet1!$M$3:$O$3</c:f>
              <c:numCache>
                <c:formatCode>General</c:formatCode>
                <c:ptCount val="3"/>
                <c:pt idx="0">
                  <c:v>494</c:v>
                </c:pt>
                <c:pt idx="1">
                  <c:v>359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0-3B4C-A474-C7528EA61F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4924575"/>
        <c:axId val="645477407"/>
      </c:barChart>
      <c:catAx>
        <c:axId val="64492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77407"/>
        <c:crosses val="autoZero"/>
        <c:auto val="1"/>
        <c:lblAlgn val="ctr"/>
        <c:lblOffset val="100"/>
        <c:noMultiLvlLbl val="0"/>
      </c:catAx>
      <c:valAx>
        <c:axId val="64547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Interactions by # of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Sheet1!$L$7</c:f>
              <c:strCache>
                <c:ptCount val="1"/>
                <c:pt idx="0">
                  <c:v>Single GPS point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Sheet1!$M$6:$O$6</c:f>
              <c:strCache>
                <c:ptCount val="3"/>
                <c:pt idx="0">
                  <c:v>MF</c:v>
                </c:pt>
                <c:pt idx="1">
                  <c:v>FF</c:v>
                </c:pt>
                <c:pt idx="2">
                  <c:v>MM</c:v>
                </c:pt>
              </c:strCache>
            </c:strRef>
          </c:cat>
          <c:val>
            <c:numRef>
              <c:f>Sheet1!$M$7:$O$7</c:f>
              <c:numCache>
                <c:formatCode>General</c:formatCode>
                <c:ptCount val="3"/>
                <c:pt idx="0">
                  <c:v>511</c:v>
                </c:pt>
                <c:pt idx="1">
                  <c:v>558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D-4F4E-BA43-9BA6E1D586C4}"/>
            </c:ext>
          </c:extLst>
        </c:ser>
        <c:ser>
          <c:idx val="1"/>
          <c:order val="1"/>
          <c:tx>
            <c:strRef>
              <c:f>Sheet1!$L$8</c:f>
              <c:strCache>
                <c:ptCount val="1"/>
                <c:pt idx="0">
                  <c:v>2+ GPS point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Sheet1!$M$6:$O$6</c:f>
              <c:strCache>
                <c:ptCount val="3"/>
                <c:pt idx="0">
                  <c:v>MF</c:v>
                </c:pt>
                <c:pt idx="1">
                  <c:v>FF</c:v>
                </c:pt>
                <c:pt idx="2">
                  <c:v>MM</c:v>
                </c:pt>
              </c:strCache>
            </c:strRef>
          </c:cat>
          <c:val>
            <c:numRef>
              <c:f>Sheet1!$M$8:$O$8</c:f>
              <c:numCache>
                <c:formatCode>General</c:formatCode>
                <c:ptCount val="3"/>
                <c:pt idx="0">
                  <c:v>2999</c:v>
                </c:pt>
                <c:pt idx="1">
                  <c:v>1554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D-4F4E-BA43-9BA6E1D586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59956383"/>
        <c:axId val="1805610319"/>
      </c:barChart>
      <c:catAx>
        <c:axId val="125995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610319"/>
        <c:crosses val="autoZero"/>
        <c:auto val="1"/>
        <c:lblAlgn val="ctr"/>
        <c:lblOffset val="100"/>
        <c:noMultiLvlLbl val="0"/>
      </c:catAx>
      <c:valAx>
        <c:axId val="18056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5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527050</xdr:colOff>
      <xdr:row>0</xdr:row>
      <xdr:rowOff>0</xdr:rowOff>
    </xdr:from>
    <xdr:to>
      <xdr:col>22</xdr:col>
      <xdr:colOff>127000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AFB81-DF9E-638F-740A-F577F2308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19</xdr:row>
      <xdr:rowOff>19050</xdr:rowOff>
    </xdr:from>
    <xdr:to>
      <xdr:col>22</xdr:col>
      <xdr:colOff>444500</xdr:colOff>
      <xdr:row>35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63FD14-2693-2855-9DE0-1165CD16C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6A58-E623-434E-B62A-FD96E3FA4C28}">
  <dimension ref="A1:O26"/>
  <sheetViews>
    <sheetView tabSelected="1" topLeftCell="G3" workbookViewId="0">
      <selection activeCell="N11" sqref="N11"/>
    </sheetView>
  </sheetViews>
  <sheetFormatPr baseColWidth="10" defaultRowHeight="16" x14ac:dyDescent="0.2"/>
  <sheetData>
    <row r="1" spans="1:15" x14ac:dyDescent="0.2">
      <c r="A1" t="s">
        <v>0</v>
      </c>
      <c r="C1" t="s">
        <v>6</v>
      </c>
      <c r="E1" t="s">
        <v>10</v>
      </c>
      <c r="H1" t="s">
        <v>4</v>
      </c>
      <c r="I1" t="s">
        <v>6</v>
      </c>
      <c r="J1" t="s">
        <v>10</v>
      </c>
      <c r="M1" t="s">
        <v>12</v>
      </c>
      <c r="N1" t="s">
        <v>11</v>
      </c>
      <c r="O1" t="s">
        <v>13</v>
      </c>
    </row>
    <row r="2" spans="1:15" x14ac:dyDescent="0.2">
      <c r="A2">
        <v>1801</v>
      </c>
      <c r="B2" t="s">
        <v>1</v>
      </c>
      <c r="C2">
        <f>SUM(C3:C4)</f>
        <v>302</v>
      </c>
      <c r="E2">
        <f>SUM(A2,C2)</f>
        <v>2103</v>
      </c>
      <c r="H2">
        <f>SUM(H3:H4)</f>
        <v>5228</v>
      </c>
      <c r="I2">
        <f>SUM(I3:I4)</f>
        <v>757</v>
      </c>
      <c r="J2">
        <f>SUM(H2:I2)</f>
        <v>5985</v>
      </c>
      <c r="L2" t="s">
        <v>14</v>
      </c>
      <c r="M2">
        <v>511</v>
      </c>
      <c r="N2">
        <v>558</v>
      </c>
      <c r="O2">
        <v>101</v>
      </c>
    </row>
    <row r="3" spans="1:15" x14ac:dyDescent="0.2">
      <c r="A3">
        <v>977</v>
      </c>
      <c r="B3" t="s">
        <v>2</v>
      </c>
      <c r="C3">
        <v>193</v>
      </c>
      <c r="E3">
        <f>SUM(A3,C3)</f>
        <v>1170</v>
      </c>
      <c r="G3" t="s">
        <v>2</v>
      </c>
      <c r="H3">
        <v>977</v>
      </c>
      <c r="I3">
        <v>193</v>
      </c>
      <c r="J3">
        <f t="shared" ref="J3:J4" si="0">SUM(H3:I3)</f>
        <v>1170</v>
      </c>
      <c r="L3" t="s">
        <v>15</v>
      </c>
      <c r="M3">
        <v>494</v>
      </c>
      <c r="N3">
        <v>359</v>
      </c>
      <c r="O3">
        <v>80</v>
      </c>
    </row>
    <row r="4" spans="1:15" x14ac:dyDescent="0.2">
      <c r="A4">
        <v>824</v>
      </c>
      <c r="B4" t="s">
        <v>3</v>
      </c>
      <c r="C4">
        <v>109</v>
      </c>
      <c r="E4">
        <f>SUM(A4,C4)</f>
        <v>933</v>
      </c>
      <c r="G4" t="s">
        <v>3</v>
      </c>
      <c r="H4">
        <v>4251</v>
      </c>
      <c r="I4">
        <v>564</v>
      </c>
      <c r="J4">
        <f t="shared" si="0"/>
        <v>4815</v>
      </c>
    </row>
    <row r="6" spans="1:15" x14ac:dyDescent="0.2">
      <c r="A6">
        <v>867</v>
      </c>
      <c r="B6" t="s">
        <v>5</v>
      </c>
      <c r="C6">
        <f>SUM(C7:C8)</f>
        <v>138</v>
      </c>
      <c r="E6">
        <f>SUM(A6,C6)</f>
        <v>1005</v>
      </c>
      <c r="H6">
        <v>3045</v>
      </c>
      <c r="I6">
        <f>SUM(I7:I8)</f>
        <v>465</v>
      </c>
      <c r="J6">
        <f>SUM(H6:I6)</f>
        <v>3510</v>
      </c>
      <c r="M6" t="s">
        <v>12</v>
      </c>
      <c r="N6" t="s">
        <v>11</v>
      </c>
      <c r="O6" t="s">
        <v>13</v>
      </c>
    </row>
    <row r="7" spans="1:15" x14ac:dyDescent="0.2">
      <c r="A7">
        <v>437</v>
      </c>
      <c r="B7" t="s">
        <v>2</v>
      </c>
      <c r="C7">
        <v>74</v>
      </c>
      <c r="E7">
        <f t="shared" ref="E7:E8" si="1">SUM(A7,C7)</f>
        <v>511</v>
      </c>
      <c r="G7" t="s">
        <v>2</v>
      </c>
      <c r="H7">
        <v>437</v>
      </c>
      <c r="I7">
        <v>74</v>
      </c>
      <c r="J7">
        <f t="shared" ref="J7:J8" si="2">SUM(H7:I7)</f>
        <v>511</v>
      </c>
      <c r="L7" t="s">
        <v>14</v>
      </c>
      <c r="M7">
        <v>511</v>
      </c>
      <c r="N7">
        <v>558</v>
      </c>
      <c r="O7">
        <v>101</v>
      </c>
    </row>
    <row r="8" spans="1:15" x14ac:dyDescent="0.2">
      <c r="A8">
        <v>430</v>
      </c>
      <c r="B8" t="s">
        <v>3</v>
      </c>
      <c r="C8">
        <v>64</v>
      </c>
      <c r="E8">
        <f t="shared" si="1"/>
        <v>494</v>
      </c>
      <c r="G8" t="s">
        <v>3</v>
      </c>
      <c r="H8">
        <v>2608</v>
      </c>
      <c r="I8">
        <v>391</v>
      </c>
      <c r="J8">
        <f t="shared" si="2"/>
        <v>2999</v>
      </c>
      <c r="L8" t="s">
        <v>15</v>
      </c>
      <c r="M8">
        <v>2999</v>
      </c>
      <c r="N8">
        <v>1554</v>
      </c>
      <c r="O8">
        <v>262</v>
      </c>
    </row>
    <row r="10" spans="1:15" x14ac:dyDescent="0.2">
      <c r="A10">
        <v>756</v>
      </c>
      <c r="B10" t="s">
        <v>7</v>
      </c>
      <c r="C10">
        <f>SUM(C11:C12)</f>
        <v>161</v>
      </c>
      <c r="E10">
        <f>SUM(A10,C10)</f>
        <v>917</v>
      </c>
      <c r="H10">
        <v>1827</v>
      </c>
      <c r="I10">
        <f>SUM(I11:I12)</f>
        <v>285</v>
      </c>
      <c r="J10">
        <f>SUM(H10:I10)</f>
        <v>2112</v>
      </c>
    </row>
    <row r="11" spans="1:15" x14ac:dyDescent="0.2">
      <c r="A11">
        <v>440</v>
      </c>
      <c r="B11" t="s">
        <v>2</v>
      </c>
      <c r="C11">
        <v>118</v>
      </c>
      <c r="E11">
        <f t="shared" ref="E11:E12" si="3">SUM(A11,C11)</f>
        <v>558</v>
      </c>
      <c r="G11" t="s">
        <v>2</v>
      </c>
      <c r="H11">
        <v>440</v>
      </c>
      <c r="I11">
        <v>118</v>
      </c>
      <c r="J11">
        <f t="shared" ref="J11:J12" si="4">SUM(H11:I11)</f>
        <v>558</v>
      </c>
      <c r="N11" s="1">
        <f>5228/246085</f>
        <v>2.124469187475872E-2</v>
      </c>
    </row>
    <row r="12" spans="1:15" x14ac:dyDescent="0.2">
      <c r="A12">
        <v>316</v>
      </c>
      <c r="B12" t="s">
        <v>3</v>
      </c>
      <c r="C12">
        <v>43</v>
      </c>
      <c r="E12">
        <f t="shared" si="3"/>
        <v>359</v>
      </c>
      <c r="G12" t="s">
        <v>3</v>
      </c>
      <c r="H12">
        <v>1387</v>
      </c>
      <c r="I12">
        <v>167</v>
      </c>
      <c r="J12">
        <f t="shared" si="4"/>
        <v>1554</v>
      </c>
    </row>
    <row r="13" spans="1:15" x14ac:dyDescent="0.2">
      <c r="M13" s="1">
        <f>171596/333964</f>
        <v>0.51381586039213811</v>
      </c>
    </row>
    <row r="14" spans="1:15" x14ac:dyDescent="0.2">
      <c r="A14">
        <v>178</v>
      </c>
      <c r="B14" t="s">
        <v>8</v>
      </c>
      <c r="C14">
        <v>3</v>
      </c>
      <c r="E14">
        <v>181</v>
      </c>
      <c r="H14">
        <v>356</v>
      </c>
      <c r="I14">
        <v>7</v>
      </c>
      <c r="J14">
        <f>SUM(H14:I14)</f>
        <v>363</v>
      </c>
      <c r="M14" s="1">
        <f>5987/333964</f>
        <v>1.792708196092992E-2</v>
      </c>
    </row>
    <row r="15" spans="1:15" x14ac:dyDescent="0.2">
      <c r="A15">
        <v>100</v>
      </c>
      <c r="B15" t="s">
        <v>2</v>
      </c>
      <c r="C15">
        <v>1</v>
      </c>
      <c r="E15">
        <v>101</v>
      </c>
      <c r="G15" t="s">
        <v>2</v>
      </c>
      <c r="H15">
        <v>100</v>
      </c>
      <c r="I15">
        <v>1</v>
      </c>
      <c r="J15">
        <f t="shared" ref="J15:J16" si="5">SUM(H15:I15)</f>
        <v>101</v>
      </c>
    </row>
    <row r="16" spans="1:15" x14ac:dyDescent="0.2">
      <c r="A16">
        <v>78</v>
      </c>
      <c r="B16" t="s">
        <v>3</v>
      </c>
      <c r="C16">
        <v>2</v>
      </c>
      <c r="E16">
        <v>80</v>
      </c>
      <c r="G16" t="s">
        <v>3</v>
      </c>
      <c r="H16">
        <v>256</v>
      </c>
      <c r="I16">
        <v>6</v>
      </c>
      <c r="J16">
        <f t="shared" si="5"/>
        <v>262</v>
      </c>
    </row>
    <row r="18" spans="1:8" x14ac:dyDescent="0.2">
      <c r="A18">
        <v>302</v>
      </c>
      <c r="B18" t="s">
        <v>9</v>
      </c>
      <c r="H18">
        <v>1728</v>
      </c>
    </row>
    <row r="19" spans="1:8" x14ac:dyDescent="0.2">
      <c r="A19">
        <v>117</v>
      </c>
      <c r="B19" t="s">
        <v>2</v>
      </c>
      <c r="G19" t="s">
        <v>2</v>
      </c>
      <c r="H19">
        <v>117</v>
      </c>
    </row>
    <row r="20" spans="1:8" x14ac:dyDescent="0.2">
      <c r="A20">
        <v>185</v>
      </c>
      <c r="B20" t="s">
        <v>3</v>
      </c>
      <c r="G20" t="s">
        <v>3</v>
      </c>
      <c r="H20">
        <v>1611</v>
      </c>
    </row>
    <row r="25" spans="1:8" x14ac:dyDescent="0.2">
      <c r="B25" s="1"/>
    </row>
    <row r="26" spans="1:8" x14ac:dyDescent="0.2">
      <c r="B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Kathy Muench</cp:lastModifiedBy>
  <dcterms:created xsi:type="dcterms:W3CDTF">2025-01-23T23:53:45Z</dcterms:created>
  <dcterms:modified xsi:type="dcterms:W3CDTF">2025-01-24T17:24:50Z</dcterms:modified>
</cp:coreProperties>
</file>